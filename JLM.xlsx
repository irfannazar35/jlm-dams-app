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ngineering Chakbandi Plan\Small Dams Portal\"/>
    </mc:Choice>
  </mc:AlternateContent>
  <xr:revisionPtr revIDLastSave="0" documentId="13_ncr:1_{28CD8BA4-5A6D-43C1-9564-C6A909A13A3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etails" sheetId="1" r:id="rId1"/>
  </sheets>
  <definedNames>
    <definedName name="_xlnm.Print_Area" localSheetId="0">Details!$A$1:$W$17</definedName>
    <definedName name="_xlnm.Print_Titles" localSheetId="0">Details!$1:$1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</calcChain>
</file>

<file path=xl/sharedStrings.xml><?xml version="1.0" encoding="utf-8"?>
<sst xmlns="http://schemas.openxmlformats.org/spreadsheetml/2006/main" count="135" uniqueCount="78">
  <si>
    <t>Sr. No.</t>
  </si>
  <si>
    <t>Name of Dam</t>
  </si>
  <si>
    <t>River / Nullah</t>
  </si>
  <si>
    <t>Year of Completion</t>
  </si>
  <si>
    <t>Type of Dam</t>
  </si>
  <si>
    <t xml:space="preserve">Nirali </t>
  </si>
  <si>
    <t>Nirali Kas Tributary of Kanshi River</t>
  </si>
  <si>
    <t xml:space="preserve">Dungi </t>
  </si>
  <si>
    <t>Huchiara Kas Tributary of Kanshi River</t>
  </si>
  <si>
    <t>Earthfill</t>
  </si>
  <si>
    <t xml:space="preserve">Phalina </t>
  </si>
  <si>
    <t>Phalina Kas Tributary of Kanshi River</t>
  </si>
  <si>
    <t xml:space="preserve">Ugahan </t>
  </si>
  <si>
    <t>Krumb Nullah Tributary of Kanshi River</t>
  </si>
  <si>
    <t>Mohra Shera</t>
  </si>
  <si>
    <t>Badala Kas, a tributary of Wadala Kas that outfalls in Soan</t>
  </si>
  <si>
    <t xml:space="preserve">Garat  </t>
  </si>
  <si>
    <t>Garat Kas Tributary of Kahan River</t>
  </si>
  <si>
    <t xml:space="preserve">Jammargal  </t>
  </si>
  <si>
    <t xml:space="preserve">Jammargal Kas Tributary of Jhelum River </t>
  </si>
  <si>
    <t xml:space="preserve">Tain Pura I </t>
  </si>
  <si>
    <t>Tainpura Kas Tributary of Kahan River</t>
  </si>
  <si>
    <t>Tain Pura II</t>
  </si>
  <si>
    <t xml:space="preserve">Lehri </t>
  </si>
  <si>
    <t>Basli Nullah Tributary of Kahan River</t>
  </si>
  <si>
    <t xml:space="preserve">Salial </t>
  </si>
  <si>
    <t xml:space="preserve">Potha Tributary of Jhelum River </t>
  </si>
  <si>
    <t xml:space="preserve">Pindori </t>
  </si>
  <si>
    <t xml:space="preserve">Potha Kas Tributary of Jhelum River </t>
  </si>
  <si>
    <t>Shah Habib</t>
  </si>
  <si>
    <t xml:space="preserve">Local Nullah Jammargal Kas Tributary of Jhelum River </t>
  </si>
  <si>
    <t xml:space="preserve">Fatehpur </t>
  </si>
  <si>
    <t>Nabnawala Kas Tributary of Bunha River</t>
  </si>
  <si>
    <t xml:space="preserve">Domeli </t>
  </si>
  <si>
    <t>Nuli and Pamal Nullah Tributary of Kahan River</t>
  </si>
  <si>
    <t xml:space="preserve">Gurah Uttam </t>
  </si>
  <si>
    <t>Sore Kas Tributary of Kahan River</t>
  </si>
  <si>
    <t>District</t>
  </si>
  <si>
    <t>Rawalpindi</t>
  </si>
  <si>
    <t>Jhelum</t>
  </si>
  <si>
    <t>Height
(ft)</t>
  </si>
  <si>
    <t>Completion Cost
(million)</t>
  </si>
  <si>
    <t>Gross Storage Capacity
(Aft)</t>
  </si>
  <si>
    <t>Live storage
(Aft)</t>
  </si>
  <si>
    <t>C.C.A.
(Acres)</t>
  </si>
  <si>
    <t>Capacity of Channel
(Cfs)</t>
  </si>
  <si>
    <t>Length of Canal
(ft)</t>
  </si>
  <si>
    <t>DSL
(ft)</t>
  </si>
  <si>
    <t>NPL
(ft)</t>
  </si>
  <si>
    <t>HFL
(ft)</t>
  </si>
  <si>
    <t>Catchment Area
(Sq. Km)</t>
  </si>
  <si>
    <t>Location</t>
  </si>
  <si>
    <t>It is at a distance of about &amp; miles from Daultala Railway Station.</t>
  </si>
  <si>
    <t>The dam site is located on Hachiara Nallah a tributory of River in Gujar Khan Tahsil of Rawalpindi District.</t>
  </si>
  <si>
    <t>Dam Site is situated at 9 Km north east of Mandra Town, Tehsil Gujar Khan District Rawalpindi.</t>
  </si>
  <si>
    <t>Located at a distance of about 13.0 Km west of Gujar Khan town District Rawalpindi of Krumb Nullah, a tributary of Kanshi River.</t>
  </si>
  <si>
    <t>Near Mohra Shera village, District Rawalpindi</t>
  </si>
  <si>
    <t>Dam site located west side Dina town Distt: Jhelum</t>
  </si>
  <si>
    <t>Dam site is near Jammergal village about 50 K.M south west of Distt: Jhelum.</t>
  </si>
  <si>
    <t>Site is located at Patha Wala Kas at a distance of 15 K.M.S in Tehsil noth east of Dina Town Tehsil: Dina Distt: Jhelum.</t>
  </si>
  <si>
    <t>Site is located at Local Kas, Tribotory of Basali Nullah Salial Kas about 40 K.M in siouth west of Dina Tehsil: Sohawa Distt: Jhelum.</t>
  </si>
  <si>
    <t>Located at a distance of about 20.0 Km south west of mandra town, Tehsil Gujar khan District Rawalpindi on bodala kas a tributary of sowan River.</t>
  </si>
  <si>
    <t>Dam site is situated at 2 Km South west of Jammergal village, 55 Km from Jhelum City, Tehsil &amp; District Jhelum.</t>
  </si>
  <si>
    <t>Dam site is situated at 34 Km south west of Domeli Town and 84 Km from JhelumCity, District Jhelum.</t>
  </si>
  <si>
    <t>Site is located at Junc tion Point of Nili Pamal nullah near vellage Domeli Teh: Sohawa Distt: Jhelum.</t>
  </si>
  <si>
    <t>Dam site is situated at about 25 Kms South west from Domeli Town and 75 Km from Jhelum City, Tehsil &amp; District Jhelum.</t>
  </si>
  <si>
    <t>Operational / Non-Operational</t>
  </si>
  <si>
    <t>Operational</t>
  </si>
  <si>
    <t>Non-Operational</t>
  </si>
  <si>
    <t>Dam site is near ratwal railway station about 6 K.M. north west of Dina Town District Jhelum.</t>
  </si>
  <si>
    <t>Decimal Latitude</t>
  </si>
  <si>
    <t>Decimal Longitude</t>
  </si>
  <si>
    <t>Tehsil</t>
  </si>
  <si>
    <t>Gujar Khan</t>
  </si>
  <si>
    <t>Dina</t>
  </si>
  <si>
    <t>Sohawa</t>
  </si>
  <si>
    <t>Concrete Gravity</t>
  </si>
  <si>
    <t>CWL
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</si>
</sst>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 readingOrder="1"/>
    </xf>
    <xf numFmtId="2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readingOrder="1"/>
    </xf>
    <xf numFmtId="3" fontId="3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2" fontId="8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left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#,##0.000"/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CC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7" totalsRowShown="0" headerRowDxfId="47" dataDxfId="46" totalsRowDxfId="44" tableBorderDxfId="45">
  <autoFilter ref="A1:W17" xr:uid="{00000000-0009-0000-0100-000001000000}"/>
  <sortState xmlns:xlrd2="http://schemas.microsoft.com/office/spreadsheetml/2017/richdata2" ref="A2:S17">
    <sortCondition ref="A1:A17"/>
  </sortState>
  <tableColumns count="23">
    <tableColumn id="1" xr3:uid="{00000000-0010-0000-0000-000001000000}" name="Sr. No." dataDxfId="43" totalsRowDxfId="23">
      <calculatedColumnFormula>SUBTOTAL(3,$C$2:C2)</calculatedColumnFormula>
    </tableColumn>
    <tableColumn id="3" xr3:uid="{00000000-0010-0000-0000-000003000000}" name="Name of Dam" dataDxfId="4" totalsRowDxfId="5"/>
    <tableColumn id="2" xr3:uid="{00000000-0010-0000-0000-000002000000}" name="District" dataDxfId="42" totalsRowDxfId="22"/>
    <tableColumn id="23" xr3:uid="{37EE455E-0D54-4E59-855C-98084779B72F}" name="Tehsil" dataDxfId="2" totalsRowDxfId="3"/>
    <tableColumn id="19" xr3:uid="{00000000-0010-0000-0000-000013000000}" name="Location" dataDxfId="41" totalsRowDxfId="21"/>
    <tableColumn id="5" xr3:uid="{00000000-0010-0000-0000-000005000000}" name="Type of Dam" dataDxfId="40" totalsRowDxfId="20"/>
    <tableColumn id="20" xr3:uid="{00000000-0010-0000-0000-000014000000}" name="Operational / Non-Operational" dataDxfId="39" totalsRowDxfId="19"/>
    <tableColumn id="6" xr3:uid="{00000000-0010-0000-0000-000006000000}" name="Height_x000a_(ft)" dataDxfId="38" totalsRowDxfId="18"/>
    <tableColumn id="7" xr3:uid="{00000000-0010-0000-0000-000007000000}" name="Completion Cost_x000a_(million)" dataDxfId="37" totalsRowDxfId="17"/>
    <tableColumn id="8" xr3:uid="{00000000-0010-0000-0000-000008000000}" name="Gross Storage Capacity_x000a_(Aft)" dataDxfId="36" totalsRowDxfId="16"/>
    <tableColumn id="9" xr3:uid="{00000000-0010-0000-0000-000009000000}" name="Live storage_x000a_(Aft)" dataDxfId="35" totalsRowDxfId="15"/>
    <tableColumn id="10" xr3:uid="{00000000-0010-0000-0000-00000A000000}" name="C.C.A._x000a_(Acres)" dataDxfId="34" totalsRowDxfId="14"/>
    <tableColumn id="11" xr3:uid="{00000000-0010-0000-0000-00000B000000}" name="Capacity of Channel_x000a_(Cfs)" dataDxfId="33" totalsRowDxfId="13"/>
    <tableColumn id="12" xr3:uid="{00000000-0010-0000-0000-00000C000000}" name="Length of Canal_x000a_(ft)" dataDxfId="32" totalsRowDxfId="12"/>
    <tableColumn id="13" xr3:uid="{00000000-0010-0000-0000-00000D000000}" name="DSL_x000a_(ft)" dataDxfId="31" totalsRowDxfId="11"/>
    <tableColumn id="14" xr3:uid="{00000000-0010-0000-0000-00000E000000}" name="NPL_x000a_(ft)" dataDxfId="30" totalsRowDxfId="10"/>
    <tableColumn id="15" xr3:uid="{00000000-0010-0000-0000-00000F000000}" name="HFL_x000a_(ft)" dataDxfId="29" totalsRowDxfId="9"/>
    <tableColumn id="24" xr3:uid="{3AF9B372-2BCD-4E59-BC13-8B542A34DBDB}" name="CWL_x000a_(ft)" dataDxfId="0" totalsRowDxfId="1"/>
    <tableColumn id="16" xr3:uid="{00000000-0010-0000-0000-000010000000}" name="River / Nullah" dataDxfId="28" totalsRowDxfId="8"/>
    <tableColumn id="17" xr3:uid="{00000000-0010-0000-0000-000011000000}" name="Year of Completion" dataDxfId="27" totalsRowDxfId="7"/>
    <tableColumn id="18" xr3:uid="{00000000-0010-0000-0000-000012000000}" name="Catchment Area_x000a_(Sq. Km)" dataDxfId="26" totalsRowDxfId="6"/>
    <tableColumn id="21" xr3:uid="{99419130-26DC-4B71-9C38-2EB1A9560509}" name="Decimal Latitude" dataDxfId="25"/>
    <tableColumn id="22" xr3:uid="{475FDCCF-6F9D-4F8C-AA2E-9C023B1049B1}" name="Decimal Longitude" dataDxfId="2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W17"/>
  <sheetViews>
    <sheetView tabSelected="1" view="pageBreakPreview" zoomScale="55" zoomScaleNormal="70" zoomScaleSheetLayoutView="55" workbookViewId="0">
      <pane xSplit="4" ySplit="1" topLeftCell="F2" activePane="bottomRight" state="frozen"/>
      <selection pane="topRight" activeCell="D1" sqref="D1"/>
      <selection pane="bottomLeft" activeCell="A4" sqref="A4"/>
      <selection pane="bottomRight" sqref="A1:XFD1048576"/>
    </sheetView>
  </sheetViews>
  <sheetFormatPr defaultColWidth="8.86328125" defaultRowHeight="14.25" x14ac:dyDescent="0.45"/>
  <cols>
    <col min="1" max="1" width="4.6640625" customWidth="1"/>
    <col min="2" max="2" width="13.06640625" style="35" customWidth="1"/>
    <col min="3" max="4" width="11.19921875" customWidth="1"/>
    <col min="5" max="5" width="44.9296875" style="36" customWidth="1"/>
    <col min="6" max="6" width="22" style="37" customWidth="1"/>
    <col min="7" max="7" width="18.1328125" style="38" customWidth="1"/>
    <col min="8" max="8" width="12.86328125" style="38" customWidth="1"/>
    <col min="9" max="9" width="14.06640625" style="38" customWidth="1"/>
    <col min="10" max="10" width="13.86328125" style="39" customWidth="1"/>
    <col min="11" max="11" width="12.86328125" style="40" customWidth="1"/>
    <col min="12" max="12" width="14.6640625" style="40" customWidth="1"/>
    <col min="13" max="13" width="15.46484375" style="40" customWidth="1"/>
    <col min="14" max="14" width="13.73046875" customWidth="1"/>
    <col min="15" max="15" width="12.33203125" style="40" customWidth="1"/>
    <col min="16" max="16" width="10.73046875" style="41" customWidth="1"/>
    <col min="17" max="18" width="11.53125" style="41" customWidth="1"/>
    <col min="19" max="19" width="26.33203125" style="41" customWidth="1"/>
    <col min="20" max="20" width="13.33203125" customWidth="1"/>
    <col min="21" max="21" width="12.53125" style="42" customWidth="1"/>
    <col min="22" max="22" width="12.19921875" style="42" customWidth="1"/>
    <col min="23" max="23" width="10.73046875" style="43" bestFit="1" customWidth="1"/>
    <col min="24" max="24" width="10.73046875" bestFit="1" customWidth="1"/>
  </cols>
  <sheetData>
    <row r="1" spans="1:23" s="11" customFormat="1" ht="55.5" x14ac:dyDescent="0.45">
      <c r="A1" s="1" t="s">
        <v>0</v>
      </c>
      <c r="B1" s="2" t="s">
        <v>1</v>
      </c>
      <c r="C1" s="1" t="s">
        <v>37</v>
      </c>
      <c r="D1" s="45" t="s">
        <v>72</v>
      </c>
      <c r="E1" s="3" t="s">
        <v>51</v>
      </c>
      <c r="F1" s="3" t="s">
        <v>4</v>
      </c>
      <c r="G1" s="3" t="s">
        <v>66</v>
      </c>
      <c r="H1" s="3" t="s">
        <v>40</v>
      </c>
      <c r="I1" s="4" t="s">
        <v>41</v>
      </c>
      <c r="J1" s="5" t="s">
        <v>42</v>
      </c>
      <c r="K1" s="5" t="s">
        <v>43</v>
      </c>
      <c r="L1" s="5" t="s">
        <v>44</v>
      </c>
      <c r="M1" s="6" t="s">
        <v>45</v>
      </c>
      <c r="N1" s="7" t="s">
        <v>46</v>
      </c>
      <c r="O1" s="6" t="s">
        <v>47</v>
      </c>
      <c r="P1" s="6" t="s">
        <v>48</v>
      </c>
      <c r="Q1" s="6" t="s">
        <v>49</v>
      </c>
      <c r="R1" s="6" t="s">
        <v>77</v>
      </c>
      <c r="S1" s="3" t="s">
        <v>2</v>
      </c>
      <c r="T1" s="3" t="s">
        <v>3</v>
      </c>
      <c r="U1" s="8" t="s">
        <v>50</v>
      </c>
      <c r="V1" s="9" t="s">
        <v>70</v>
      </c>
      <c r="W1" s="10" t="s">
        <v>71</v>
      </c>
    </row>
    <row r="2" spans="1:23" ht="27" x14ac:dyDescent="0.45">
      <c r="A2" s="12">
        <f>SUBTOTAL(3,$C$2:C2)</f>
        <v>1</v>
      </c>
      <c r="B2" s="13" t="s">
        <v>5</v>
      </c>
      <c r="C2" s="12" t="s">
        <v>38</v>
      </c>
      <c r="D2" s="45" t="s">
        <v>73</v>
      </c>
      <c r="E2" s="15" t="s">
        <v>52</v>
      </c>
      <c r="F2" s="16" t="s">
        <v>9</v>
      </c>
      <c r="G2" s="16" t="s">
        <v>67</v>
      </c>
      <c r="H2" s="17">
        <v>70</v>
      </c>
      <c r="I2" s="18">
        <v>0.97299999999999998</v>
      </c>
      <c r="J2" s="19">
        <v>754</v>
      </c>
      <c r="K2" s="19">
        <v>450</v>
      </c>
      <c r="L2" s="19">
        <v>315</v>
      </c>
      <c r="M2" s="20">
        <v>3</v>
      </c>
      <c r="N2" s="21">
        <v>12672</v>
      </c>
      <c r="O2" s="17">
        <v>1700.5</v>
      </c>
      <c r="P2" s="17">
        <v>1715</v>
      </c>
      <c r="Q2" s="17">
        <v>1722</v>
      </c>
      <c r="R2" s="17">
        <v>1715</v>
      </c>
      <c r="S2" s="22" t="s">
        <v>6</v>
      </c>
      <c r="T2" s="14">
        <v>1970</v>
      </c>
      <c r="U2" s="23">
        <v>9.19</v>
      </c>
      <c r="V2" s="44">
        <v>33.117801999999998</v>
      </c>
      <c r="W2" s="44">
        <v>73.166129999999995</v>
      </c>
    </row>
    <row r="3" spans="1:23" ht="40.5" x14ac:dyDescent="0.45">
      <c r="A3" s="12">
        <f>SUBTOTAL(3,$C$2:C3)</f>
        <v>2</v>
      </c>
      <c r="B3" s="13" t="s">
        <v>7</v>
      </c>
      <c r="C3" s="12" t="s">
        <v>38</v>
      </c>
      <c r="D3" s="45" t="s">
        <v>73</v>
      </c>
      <c r="E3" s="15" t="s">
        <v>53</v>
      </c>
      <c r="F3" s="16" t="s">
        <v>76</v>
      </c>
      <c r="G3" s="16" t="s">
        <v>67</v>
      </c>
      <c r="H3" s="24">
        <v>71.400000000000006</v>
      </c>
      <c r="I3" s="18">
        <v>1.47</v>
      </c>
      <c r="J3" s="19">
        <v>1760</v>
      </c>
      <c r="K3" s="19">
        <v>959</v>
      </c>
      <c r="L3" s="19">
        <v>246</v>
      </c>
      <c r="M3" s="17">
        <v>3</v>
      </c>
      <c r="N3" s="21">
        <v>16282</v>
      </c>
      <c r="O3" s="17">
        <v>1490</v>
      </c>
      <c r="P3" s="17">
        <v>1502.5</v>
      </c>
      <c r="Q3" s="17">
        <v>1507.4</v>
      </c>
      <c r="R3" s="17">
        <v>1502.5</v>
      </c>
      <c r="S3" s="22" t="s">
        <v>8</v>
      </c>
      <c r="T3" s="14">
        <v>1971</v>
      </c>
      <c r="U3" s="23">
        <v>20</v>
      </c>
      <c r="V3" s="44">
        <v>33.292583</v>
      </c>
      <c r="W3" s="44">
        <v>73.304190000000006</v>
      </c>
    </row>
    <row r="4" spans="1:23" ht="27" x14ac:dyDescent="0.45">
      <c r="A4" s="12">
        <f>SUBTOTAL(3,$C$2:C4)</f>
        <v>3</v>
      </c>
      <c r="B4" s="13" t="s">
        <v>10</v>
      </c>
      <c r="C4" s="12" t="s">
        <v>38</v>
      </c>
      <c r="D4" s="45" t="s">
        <v>73</v>
      </c>
      <c r="E4" s="15" t="s">
        <v>54</v>
      </c>
      <c r="F4" s="16" t="s">
        <v>9</v>
      </c>
      <c r="G4" s="16" t="s">
        <v>67</v>
      </c>
      <c r="H4" s="24">
        <v>74</v>
      </c>
      <c r="I4" s="18">
        <v>267.97500000000002</v>
      </c>
      <c r="J4" s="19">
        <v>3900</v>
      </c>
      <c r="K4" s="19">
        <v>2930</v>
      </c>
      <c r="L4" s="19">
        <v>2200</v>
      </c>
      <c r="M4" s="20">
        <v>21.6</v>
      </c>
      <c r="N4" s="21">
        <v>37500</v>
      </c>
      <c r="O4" s="17">
        <v>1630.6</v>
      </c>
      <c r="P4" s="17">
        <v>1651.9</v>
      </c>
      <c r="Q4" s="17">
        <v>1656.6</v>
      </c>
      <c r="R4" s="17">
        <v>1651.9</v>
      </c>
      <c r="S4" s="22" t="s">
        <v>11</v>
      </c>
      <c r="T4" s="14">
        <v>2008</v>
      </c>
      <c r="U4" s="23">
        <v>24.75</v>
      </c>
      <c r="V4" s="44">
        <v>33.391845000000004</v>
      </c>
      <c r="W4" s="44">
        <v>73.311025999999998</v>
      </c>
    </row>
    <row r="5" spans="1:23" ht="40.5" x14ac:dyDescent="0.45">
      <c r="A5" s="12">
        <f>SUBTOTAL(3,$C$2:C5)</f>
        <v>4</v>
      </c>
      <c r="B5" s="13" t="s">
        <v>12</v>
      </c>
      <c r="C5" s="12" t="s">
        <v>38</v>
      </c>
      <c r="D5" s="45" t="s">
        <v>73</v>
      </c>
      <c r="E5" s="15" t="s">
        <v>55</v>
      </c>
      <c r="F5" s="16" t="s">
        <v>9</v>
      </c>
      <c r="G5" s="16" t="s">
        <v>67</v>
      </c>
      <c r="H5" s="24">
        <v>85</v>
      </c>
      <c r="I5" s="18">
        <v>509.60199999999998</v>
      </c>
      <c r="J5" s="19">
        <v>8100</v>
      </c>
      <c r="K5" s="19">
        <v>3960</v>
      </c>
      <c r="L5" s="19">
        <v>3500</v>
      </c>
      <c r="M5" s="20">
        <v>35</v>
      </c>
      <c r="N5" s="21">
        <v>39500</v>
      </c>
      <c r="O5" s="17">
        <v>1572.25</v>
      </c>
      <c r="P5" s="17">
        <v>1594</v>
      </c>
      <c r="Q5" s="17">
        <v>1601</v>
      </c>
      <c r="R5" s="17">
        <v>1594</v>
      </c>
      <c r="S5" s="22" t="s">
        <v>13</v>
      </c>
      <c r="T5" s="14">
        <v>2012</v>
      </c>
      <c r="U5" s="23">
        <v>71.48</v>
      </c>
      <c r="V5" s="44">
        <v>33.233114</v>
      </c>
      <c r="W5" s="44">
        <v>73.239621</v>
      </c>
    </row>
    <row r="6" spans="1:23" ht="40.5" x14ac:dyDescent="0.45">
      <c r="A6" s="12">
        <f>SUBTOTAL(3,$C$2:C6)</f>
        <v>5</v>
      </c>
      <c r="B6" s="13" t="s">
        <v>14</v>
      </c>
      <c r="C6" s="12" t="s">
        <v>38</v>
      </c>
      <c r="D6" s="45" t="s">
        <v>73</v>
      </c>
      <c r="E6" s="15" t="s">
        <v>56</v>
      </c>
      <c r="F6" s="16" t="s">
        <v>9</v>
      </c>
      <c r="G6" s="20" t="s">
        <v>67</v>
      </c>
      <c r="H6" s="24">
        <v>97</v>
      </c>
      <c r="I6" s="18">
        <v>1128.5419999999999</v>
      </c>
      <c r="J6" s="19">
        <v>11800</v>
      </c>
      <c r="K6" s="19">
        <v>5820</v>
      </c>
      <c r="L6" s="19">
        <v>4500</v>
      </c>
      <c r="M6" s="20">
        <v>30</v>
      </c>
      <c r="N6" s="21">
        <v>16000</v>
      </c>
      <c r="O6" s="17">
        <v>1536</v>
      </c>
      <c r="P6" s="17">
        <v>1548</v>
      </c>
      <c r="Q6" s="17">
        <v>1556</v>
      </c>
      <c r="R6" s="17">
        <v>1548</v>
      </c>
      <c r="S6" s="22" t="s">
        <v>15</v>
      </c>
      <c r="T6" s="14">
        <v>2025</v>
      </c>
      <c r="U6" s="23">
        <v>127</v>
      </c>
      <c r="V6" s="44">
        <v>33.338093999999998</v>
      </c>
      <c r="W6" s="44">
        <v>73.136668999999998</v>
      </c>
    </row>
    <row r="7" spans="1:23" ht="27" x14ac:dyDescent="0.45">
      <c r="A7" s="12">
        <f>SUBTOTAL(3,$C$2:C7)</f>
        <v>6</v>
      </c>
      <c r="B7" s="13" t="s">
        <v>16</v>
      </c>
      <c r="C7" s="12" t="s">
        <v>39</v>
      </c>
      <c r="D7" s="45" t="s">
        <v>74</v>
      </c>
      <c r="E7" s="15" t="s">
        <v>57</v>
      </c>
      <c r="F7" s="16" t="s">
        <v>9</v>
      </c>
      <c r="G7" s="16" t="s">
        <v>67</v>
      </c>
      <c r="H7" s="24">
        <v>66</v>
      </c>
      <c r="I7" s="18">
        <v>14.31</v>
      </c>
      <c r="J7" s="19">
        <v>2228</v>
      </c>
      <c r="K7" s="19">
        <v>1763</v>
      </c>
      <c r="L7" s="19">
        <v>638</v>
      </c>
      <c r="M7" s="20">
        <v>6</v>
      </c>
      <c r="N7" s="21">
        <v>16526</v>
      </c>
      <c r="O7" s="17">
        <v>922.5</v>
      </c>
      <c r="P7" s="17">
        <v>951</v>
      </c>
      <c r="Q7" s="17">
        <v>955.5</v>
      </c>
      <c r="R7" s="17">
        <v>951</v>
      </c>
      <c r="S7" s="22" t="s">
        <v>17</v>
      </c>
      <c r="T7" s="14">
        <v>1982</v>
      </c>
      <c r="U7" s="23">
        <v>14.01</v>
      </c>
      <c r="V7" s="44">
        <v>33.018723000000001</v>
      </c>
      <c r="W7" s="44">
        <v>73.515906000000001</v>
      </c>
    </row>
    <row r="8" spans="1:23" ht="67.5" customHeight="1" x14ac:dyDescent="0.45">
      <c r="A8" s="12">
        <f>SUBTOTAL(3,$C$2:C8)</f>
        <v>7</v>
      </c>
      <c r="B8" s="13" t="s">
        <v>18</v>
      </c>
      <c r="C8" s="12" t="s">
        <v>39</v>
      </c>
      <c r="D8" s="12" t="s">
        <v>39</v>
      </c>
      <c r="E8" s="15" t="s">
        <v>58</v>
      </c>
      <c r="F8" s="16" t="s">
        <v>9</v>
      </c>
      <c r="G8" s="16" t="s">
        <v>67</v>
      </c>
      <c r="H8" s="24">
        <v>53.48</v>
      </c>
      <c r="I8" s="18">
        <v>22.98</v>
      </c>
      <c r="J8" s="19">
        <v>2432</v>
      </c>
      <c r="K8" s="19">
        <v>1650</v>
      </c>
      <c r="L8" s="19">
        <v>925</v>
      </c>
      <c r="M8" s="17">
        <v>6.5</v>
      </c>
      <c r="N8" s="21">
        <v>15840</v>
      </c>
      <c r="O8" s="17">
        <v>879.25</v>
      </c>
      <c r="P8" s="17">
        <v>890.81</v>
      </c>
      <c r="Q8" s="17">
        <v>897</v>
      </c>
      <c r="R8" s="17">
        <v>890.81</v>
      </c>
      <c r="S8" s="22" t="s">
        <v>19</v>
      </c>
      <c r="T8" s="14">
        <v>1992</v>
      </c>
      <c r="U8" s="23">
        <v>15</v>
      </c>
      <c r="V8" s="44">
        <v>32.746442000000002</v>
      </c>
      <c r="W8" s="44">
        <v>73.453018999999998</v>
      </c>
    </row>
    <row r="9" spans="1:23" ht="27" x14ac:dyDescent="0.45">
      <c r="A9" s="12">
        <f>SUBTOTAL(3,$C$2:C9)</f>
        <v>8</v>
      </c>
      <c r="B9" s="13" t="s">
        <v>20</v>
      </c>
      <c r="C9" s="12" t="s">
        <v>39</v>
      </c>
      <c r="D9" s="45" t="s">
        <v>74</v>
      </c>
      <c r="E9" s="15" t="s">
        <v>69</v>
      </c>
      <c r="F9" s="16" t="s">
        <v>9</v>
      </c>
      <c r="G9" s="16" t="s">
        <v>67</v>
      </c>
      <c r="H9" s="17">
        <v>92.5</v>
      </c>
      <c r="I9" s="18">
        <v>108.15</v>
      </c>
      <c r="J9" s="19">
        <v>5941</v>
      </c>
      <c r="K9" s="19">
        <v>5775</v>
      </c>
      <c r="L9" s="19">
        <v>3410</v>
      </c>
      <c r="M9" s="20">
        <v>30</v>
      </c>
      <c r="N9" s="21">
        <v>69326</v>
      </c>
      <c r="O9" s="17">
        <v>959</v>
      </c>
      <c r="P9" s="17">
        <v>1000</v>
      </c>
      <c r="Q9" s="17">
        <v>1007</v>
      </c>
      <c r="R9" s="17">
        <v>1000</v>
      </c>
      <c r="S9" s="22" t="s">
        <v>21</v>
      </c>
      <c r="T9" s="14">
        <v>1994</v>
      </c>
      <c r="U9" s="23">
        <v>35.5</v>
      </c>
      <c r="V9" s="44">
        <v>33.057107000000002</v>
      </c>
      <c r="W9" s="44">
        <v>73.530376000000004</v>
      </c>
    </row>
    <row r="10" spans="1:23" ht="27" x14ac:dyDescent="0.45">
      <c r="A10" s="12">
        <f>SUBTOTAL(3,$C$2:C10)</f>
        <v>9</v>
      </c>
      <c r="B10" s="13" t="s">
        <v>22</v>
      </c>
      <c r="C10" s="12" t="s">
        <v>39</v>
      </c>
      <c r="D10" s="45" t="s">
        <v>74</v>
      </c>
      <c r="E10" s="15" t="s">
        <v>69</v>
      </c>
      <c r="F10" s="16" t="s">
        <v>9</v>
      </c>
      <c r="G10" s="16" t="s">
        <v>67</v>
      </c>
      <c r="H10" s="17">
        <v>85.75</v>
      </c>
      <c r="I10" s="18">
        <v>0</v>
      </c>
      <c r="J10" s="19">
        <v>3395</v>
      </c>
      <c r="K10" s="19">
        <v>1211</v>
      </c>
      <c r="L10" s="18">
        <v>0</v>
      </c>
      <c r="M10" s="18">
        <v>0</v>
      </c>
      <c r="N10" s="18">
        <v>0</v>
      </c>
      <c r="O10" s="17">
        <v>989</v>
      </c>
      <c r="P10" s="17">
        <v>1018</v>
      </c>
      <c r="Q10" s="17">
        <v>1021</v>
      </c>
      <c r="R10" s="17">
        <v>1018</v>
      </c>
      <c r="S10" s="22" t="s">
        <v>21</v>
      </c>
      <c r="T10" s="14">
        <v>1994</v>
      </c>
      <c r="U10" s="23">
        <v>9.1999999999999993</v>
      </c>
      <c r="V10" s="44">
        <v>33.068589000000003</v>
      </c>
      <c r="W10" s="44">
        <v>73.533078000000003</v>
      </c>
    </row>
    <row r="11" spans="1:23" ht="94.5" customHeight="1" x14ac:dyDescent="0.45">
      <c r="A11" s="12">
        <f>SUBTOTAL(3,$C$2:C11)</f>
        <v>10</v>
      </c>
      <c r="B11" s="13" t="s">
        <v>23</v>
      </c>
      <c r="C11" s="12" t="s">
        <v>39</v>
      </c>
      <c r="D11" s="45" t="s">
        <v>74</v>
      </c>
      <c r="E11" s="15" t="s">
        <v>59</v>
      </c>
      <c r="F11" s="16" t="s">
        <v>9</v>
      </c>
      <c r="G11" s="16" t="s">
        <v>67</v>
      </c>
      <c r="H11" s="24">
        <v>109</v>
      </c>
      <c r="I11" s="18">
        <v>123.714</v>
      </c>
      <c r="J11" s="19">
        <v>5705</v>
      </c>
      <c r="K11" s="19">
        <v>4595</v>
      </c>
      <c r="L11" s="19">
        <v>2220</v>
      </c>
      <c r="M11" s="20">
        <v>30</v>
      </c>
      <c r="N11" s="21">
        <v>37000</v>
      </c>
      <c r="O11" s="17">
        <v>959</v>
      </c>
      <c r="P11" s="17">
        <v>1000</v>
      </c>
      <c r="Q11" s="17">
        <v>1007</v>
      </c>
      <c r="R11" s="17">
        <v>1000</v>
      </c>
      <c r="S11" s="22" t="s">
        <v>24</v>
      </c>
      <c r="T11" s="14">
        <v>2005</v>
      </c>
      <c r="U11" s="23">
        <v>3.9</v>
      </c>
      <c r="V11" s="44">
        <v>33.109415599999998</v>
      </c>
      <c r="W11" s="44">
        <v>73.606998200000007</v>
      </c>
    </row>
    <row r="12" spans="1:23" ht="40.5" x14ac:dyDescent="0.45">
      <c r="A12" s="12">
        <f>SUBTOTAL(3,$C$2:C12)</f>
        <v>11</v>
      </c>
      <c r="B12" s="13" t="s">
        <v>25</v>
      </c>
      <c r="C12" s="12" t="s">
        <v>39</v>
      </c>
      <c r="D12" s="45" t="s">
        <v>75</v>
      </c>
      <c r="E12" s="15" t="s">
        <v>60</v>
      </c>
      <c r="F12" s="16" t="s">
        <v>9</v>
      </c>
      <c r="G12" s="16" t="s">
        <v>67</v>
      </c>
      <c r="H12" s="24">
        <v>68</v>
      </c>
      <c r="I12" s="18">
        <v>43.4</v>
      </c>
      <c r="J12" s="19">
        <v>527</v>
      </c>
      <c r="K12" s="19">
        <v>417</v>
      </c>
      <c r="L12" s="19">
        <v>372</v>
      </c>
      <c r="M12" s="20">
        <v>4</v>
      </c>
      <c r="N12" s="21">
        <v>8550</v>
      </c>
      <c r="O12" s="17">
        <v>1118.75</v>
      </c>
      <c r="P12" s="17">
        <v>1147</v>
      </c>
      <c r="Q12" s="17">
        <v>1153</v>
      </c>
      <c r="R12" s="17">
        <v>1147</v>
      </c>
      <c r="S12" s="22" t="s">
        <v>26</v>
      </c>
      <c r="T12" s="14">
        <v>2005</v>
      </c>
      <c r="U12" s="23">
        <v>16.5</v>
      </c>
      <c r="V12" s="44">
        <v>32.878397</v>
      </c>
      <c r="W12" s="44">
        <v>73.407940999999994</v>
      </c>
    </row>
    <row r="13" spans="1:23" ht="121.5" customHeight="1" x14ac:dyDescent="0.45">
      <c r="A13" s="12">
        <f>SUBTOTAL(3,$C$2:C13)</f>
        <v>12</v>
      </c>
      <c r="B13" s="13" t="s">
        <v>27</v>
      </c>
      <c r="C13" s="12" t="s">
        <v>39</v>
      </c>
      <c r="D13" s="45" t="s">
        <v>74</v>
      </c>
      <c r="E13" s="15" t="s">
        <v>61</v>
      </c>
      <c r="F13" s="16" t="s">
        <v>76</v>
      </c>
      <c r="G13" s="16" t="s">
        <v>67</v>
      </c>
      <c r="H13" s="17">
        <v>147</v>
      </c>
      <c r="I13" s="18">
        <v>954.87400000000002</v>
      </c>
      <c r="J13" s="19">
        <v>3795</v>
      </c>
      <c r="K13" s="19">
        <v>2344</v>
      </c>
      <c r="L13" s="19">
        <v>1700</v>
      </c>
      <c r="M13" s="20">
        <v>10</v>
      </c>
      <c r="N13" s="21">
        <v>17300</v>
      </c>
      <c r="O13" s="17">
        <v>984</v>
      </c>
      <c r="P13" s="17">
        <v>1013.5</v>
      </c>
      <c r="Q13" s="17">
        <v>1026.6300000000001</v>
      </c>
      <c r="R13" s="17">
        <v>1013.5</v>
      </c>
      <c r="S13" s="22" t="s">
        <v>28</v>
      </c>
      <c r="T13" s="14">
        <v>2022</v>
      </c>
      <c r="U13" s="23">
        <v>26.42</v>
      </c>
      <c r="V13" s="44">
        <v>33.102584</v>
      </c>
      <c r="W13" s="44">
        <v>73.604580999999996</v>
      </c>
    </row>
    <row r="14" spans="1:23" ht="40.5" x14ac:dyDescent="0.45">
      <c r="A14" s="12">
        <f>SUBTOTAL(3,$C$2:C14)</f>
        <v>13</v>
      </c>
      <c r="B14" s="13" t="s">
        <v>29</v>
      </c>
      <c r="C14" s="12" t="s">
        <v>39</v>
      </c>
      <c r="D14" s="12" t="s">
        <v>39</v>
      </c>
      <c r="E14" s="15" t="s">
        <v>62</v>
      </c>
      <c r="F14" s="16" t="s">
        <v>9</v>
      </c>
      <c r="G14" s="16" t="s">
        <v>68</v>
      </c>
      <c r="H14" s="24">
        <v>77.14</v>
      </c>
      <c r="I14" s="18">
        <v>40.58</v>
      </c>
      <c r="J14" s="19">
        <v>1655</v>
      </c>
      <c r="K14" s="19">
        <v>536</v>
      </c>
      <c r="L14" s="19">
        <v>450</v>
      </c>
      <c r="M14" s="20">
        <v>3</v>
      </c>
      <c r="N14" s="21">
        <v>18000</v>
      </c>
      <c r="O14" s="17">
        <v>902</v>
      </c>
      <c r="P14" s="17">
        <v>918.4</v>
      </c>
      <c r="Q14" s="17">
        <v>920.43</v>
      </c>
      <c r="R14" s="17">
        <v>918.4</v>
      </c>
      <c r="S14" s="22" t="s">
        <v>30</v>
      </c>
      <c r="T14" s="14">
        <v>2008</v>
      </c>
      <c r="U14" s="23">
        <v>3.5</v>
      </c>
      <c r="V14" s="44">
        <v>32.732888000000003</v>
      </c>
      <c r="W14" s="44">
        <v>73.461166000000006</v>
      </c>
    </row>
    <row r="15" spans="1:23" ht="81" customHeight="1" x14ac:dyDescent="0.45">
      <c r="A15" s="12">
        <f>SUBTOTAL(3,$C$2:C15)</f>
        <v>14</v>
      </c>
      <c r="B15" s="13" t="s">
        <v>31</v>
      </c>
      <c r="C15" s="12" t="s">
        <v>39</v>
      </c>
      <c r="D15" s="45" t="s">
        <v>75</v>
      </c>
      <c r="E15" s="15" t="s">
        <v>63</v>
      </c>
      <c r="F15" s="16" t="s">
        <v>9</v>
      </c>
      <c r="G15" s="16" t="s">
        <v>67</v>
      </c>
      <c r="H15" s="24">
        <v>86.5</v>
      </c>
      <c r="I15" s="18">
        <v>42.911000000000001</v>
      </c>
      <c r="J15" s="19">
        <v>1733</v>
      </c>
      <c r="K15" s="19">
        <v>1534</v>
      </c>
      <c r="L15" s="19">
        <v>315</v>
      </c>
      <c r="M15" s="20">
        <v>3</v>
      </c>
      <c r="N15" s="21">
        <v>22000</v>
      </c>
      <c r="O15" s="17">
        <v>1537</v>
      </c>
      <c r="P15" s="17">
        <v>1543</v>
      </c>
      <c r="Q15" s="17">
        <v>1547</v>
      </c>
      <c r="R15" s="17">
        <v>1543</v>
      </c>
      <c r="S15" s="22" t="s">
        <v>32</v>
      </c>
      <c r="T15" s="14">
        <v>2008</v>
      </c>
      <c r="U15" s="23">
        <v>3.5</v>
      </c>
      <c r="V15" s="44">
        <v>32.916252100000001</v>
      </c>
      <c r="W15" s="44">
        <v>73.187654600000002</v>
      </c>
    </row>
    <row r="16" spans="1:23" ht="40.5" x14ac:dyDescent="0.45">
      <c r="A16" s="12">
        <f>SUBTOTAL(3,$C$2:C16)</f>
        <v>15</v>
      </c>
      <c r="B16" s="13" t="s">
        <v>33</v>
      </c>
      <c r="C16" s="12" t="s">
        <v>39</v>
      </c>
      <c r="D16" s="45" t="s">
        <v>75</v>
      </c>
      <c r="E16" s="15" t="s">
        <v>64</v>
      </c>
      <c r="F16" s="16" t="s">
        <v>9</v>
      </c>
      <c r="G16" s="16" t="s">
        <v>67</v>
      </c>
      <c r="H16" s="24">
        <v>120</v>
      </c>
      <c r="I16" s="18">
        <v>320.53699999999998</v>
      </c>
      <c r="J16" s="19">
        <v>8690</v>
      </c>
      <c r="K16" s="19">
        <v>4636</v>
      </c>
      <c r="L16" s="19">
        <v>3000</v>
      </c>
      <c r="M16" s="20">
        <v>22</v>
      </c>
      <c r="N16" s="21">
        <v>28000</v>
      </c>
      <c r="O16" s="17">
        <v>1153</v>
      </c>
      <c r="P16" s="17">
        <v>1175</v>
      </c>
      <c r="Q16" s="17">
        <v>1188</v>
      </c>
      <c r="R16" s="17">
        <v>1175</v>
      </c>
      <c r="S16" s="22" t="s">
        <v>34</v>
      </c>
      <c r="T16" s="14">
        <v>2007</v>
      </c>
      <c r="U16" s="23">
        <v>170</v>
      </c>
      <c r="V16" s="44">
        <v>33.021720999999999</v>
      </c>
      <c r="W16" s="44">
        <v>73.323732000000007</v>
      </c>
    </row>
    <row r="17" spans="1:23" ht="40.5" x14ac:dyDescent="0.45">
      <c r="A17" s="25">
        <f>SUBTOTAL(3,$C$2:C17)</f>
        <v>16</v>
      </c>
      <c r="B17" s="26" t="s">
        <v>35</v>
      </c>
      <c r="C17" s="25" t="s">
        <v>39</v>
      </c>
      <c r="D17" s="45" t="s">
        <v>75</v>
      </c>
      <c r="E17" s="28" t="s">
        <v>65</v>
      </c>
      <c r="F17" s="29" t="s">
        <v>9</v>
      </c>
      <c r="G17" s="29" t="s">
        <v>67</v>
      </c>
      <c r="H17" s="30">
        <v>94</v>
      </c>
      <c r="I17" s="18">
        <v>158.29599999999999</v>
      </c>
      <c r="J17" s="19">
        <v>2679</v>
      </c>
      <c r="K17" s="19">
        <v>1030</v>
      </c>
      <c r="L17" s="19">
        <v>1500</v>
      </c>
      <c r="M17" s="31">
        <v>12.25</v>
      </c>
      <c r="N17" s="32">
        <v>30000</v>
      </c>
      <c r="O17" s="31">
        <v>1373</v>
      </c>
      <c r="P17" s="31">
        <v>1391</v>
      </c>
      <c r="Q17" s="31">
        <v>1400</v>
      </c>
      <c r="R17" s="31">
        <v>1391</v>
      </c>
      <c r="S17" s="33" t="s">
        <v>36</v>
      </c>
      <c r="T17" s="27">
        <v>2008</v>
      </c>
      <c r="U17" s="34">
        <v>35.5</v>
      </c>
      <c r="V17" s="44">
        <v>32.968325999999998</v>
      </c>
      <c r="W17" s="44">
        <v>73.237645999999998</v>
      </c>
    </row>
  </sheetData>
  <phoneticPr fontId="10" type="noConversion"/>
  <dataValidations disablePrompts="1" count="1">
    <dataValidation type="list" allowBlank="1" showInputMessage="1" showErrorMessage="1" sqref="G2:G17" xr:uid="{00000000-0002-0000-0000-000000000000}">
      <formula1>#REF!</formula1>
    </dataValidation>
  </dataValidations>
  <printOptions horizontalCentered="1"/>
  <pageMargins left="0.25" right="0.25" top="0.5" bottom="0.25" header="0" footer="0"/>
  <pageSetup paperSize="9" scale="4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Details</vt:lpstr>
      <vt:lpstr>Details!Print_Area</vt:lpstr>
      <vt:lpstr>Details!Print_Titles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shaheen</dc:creator>
  <cp:lastModifiedBy>IRFAN NAZAR</cp:lastModifiedBy>
  <cp:lastPrinted>2025-08-11T08:25:26Z</cp:lastPrinted>
  <dcterms:created xsi:type="dcterms:W3CDTF">2025-07-16T06:41:35Z</dcterms:created>
  <dcterms:modified xsi:type="dcterms:W3CDTF">2026-02-11T19:25:27Z</dcterms:modified>
</cp:coreProperties>
</file>